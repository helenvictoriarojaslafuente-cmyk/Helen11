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8EB0DA35-A086-4C31-8478-D252F6BDC9CB}" xr6:coauthVersionLast="47" xr6:coauthVersionMax="47" xr10:uidLastSave="{00000000-0000-0000-0000-000000000000}"/>
  <bookViews>
    <workbookView xWindow="2730" yWindow="3300" windowWidth="21600" windowHeight="10965" xr2:uid="{B63C834C-2594-406F-8185-0D6EBC2596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sharedStrings.xml><?xml version="1.0" encoding="utf-8"?>
<sst xmlns="http://schemas.openxmlformats.org/spreadsheetml/2006/main" count="110" uniqueCount="50">
  <si>
    <t>CPU-001</t>
  </si>
  <si>
    <t>ID de equipo</t>
  </si>
  <si>
    <t>CPU-002</t>
  </si>
  <si>
    <t>CPU-003</t>
  </si>
  <si>
    <t>CPU-004</t>
  </si>
  <si>
    <t>CPU-005</t>
  </si>
  <si>
    <t>CPU-006</t>
  </si>
  <si>
    <t>CPU-007</t>
  </si>
  <si>
    <t>CPU-008</t>
  </si>
  <si>
    <t>CPU-009</t>
  </si>
  <si>
    <t>CPU-010</t>
  </si>
  <si>
    <t>CPU-011</t>
  </si>
  <si>
    <t>CPU-012</t>
  </si>
  <si>
    <t>CPU-013</t>
  </si>
  <si>
    <t>CPU-014</t>
  </si>
  <si>
    <t>CPU-015</t>
  </si>
  <si>
    <t>CPU-016</t>
  </si>
  <si>
    <t>CPU-017</t>
  </si>
  <si>
    <t>CPU-018</t>
  </si>
  <si>
    <t>CPU-019</t>
  </si>
  <si>
    <t>CPU-020</t>
  </si>
  <si>
    <t>Descripcion</t>
  </si>
  <si>
    <t>marca</t>
  </si>
  <si>
    <t>costo unitario</t>
  </si>
  <si>
    <t>stock</t>
  </si>
  <si>
    <t>fecha de ingreso</t>
  </si>
  <si>
    <t>estado</t>
  </si>
  <si>
    <t>laptop</t>
  </si>
  <si>
    <t>servidor</t>
  </si>
  <si>
    <t>monitor</t>
  </si>
  <si>
    <t>router</t>
  </si>
  <si>
    <t>DELL</t>
  </si>
  <si>
    <t>HP</t>
  </si>
  <si>
    <t xml:space="preserve">Cisco </t>
  </si>
  <si>
    <t>Lenovo</t>
  </si>
  <si>
    <t xml:space="preserve">operativo </t>
  </si>
  <si>
    <t xml:space="preserve">mantenimiento </t>
  </si>
  <si>
    <t>De Baja</t>
  </si>
  <si>
    <t>$ 500</t>
  </si>
  <si>
    <t>$ 800</t>
  </si>
  <si>
    <t>$ 1000</t>
  </si>
  <si>
    <t>$750</t>
  </si>
  <si>
    <t>$1500</t>
  </si>
  <si>
    <t xml:space="preserve"> $999</t>
  </si>
  <si>
    <t>$666</t>
  </si>
  <si>
    <t>$245</t>
  </si>
  <si>
    <t>$ 2500</t>
  </si>
  <si>
    <t>Total</t>
  </si>
  <si>
    <t>791986</t>
  </si>
  <si>
    <t>Accion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</si>
</sst>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4BAB2E-3DB6-45FF-8311-A7949A9B328E}" name="tabla_de_excel_A" displayName="tabla_de_excel_A" ref="B4:I25" totalsRowCount="1">
  <autoFilter ref="B4:I24" xr:uid="{7B4BAB2E-3DB6-45FF-8311-A7949A9B328E}"/>
  <tableColumns count="8">
    <tableColumn id="1" xr3:uid="{3904EE6D-CAFC-48ED-8215-0FEC225B0BA4}" name="ID de equipo" totalsRowLabel="Total"/>
    <tableColumn id="2" xr3:uid="{E4C6F8C1-EFBE-4FD0-ACFF-BE7D148F63ED}" name="Descripcion"/>
    <tableColumn id="3" xr3:uid="{8A60E9A0-B213-4074-B0A3-84460DE49444}" name="marca"/>
    <tableColumn id="4" xr3:uid="{4545D061-DDA0-48A4-887C-F751312E8013}" name="costo unitario"/>
    <tableColumn id="5" xr3:uid="{2211161A-4D98-48B2-B810-6423943ECB63}" name="stock"/>
    <tableColumn id="6" xr3:uid="{D6069961-F1E5-472F-BF79-BEC0A2527A34}" name="fecha de ingreso" dataDxfId="1"/>
    <tableColumn id="7" xr3:uid="{708720AF-7613-4428-9A30-9D4BA4BFFF22}" name="estado" totalsRowLabel="791986"/>
    <tableColumn id="9" xr3:uid="{F5AB365B-D330-41D2-BFED-EAD38F67108D}" name="Accion Inmediata" dataDxfId="0">
      <calculatedColumnFormula>IF(tabla_de_excel_A[[#This Row],[estado]]="en mantenimiento", "contactar tecnico","en revision")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91E1-2636-4699-BBF9-B7634CC4F4FC}">
  <dimension ref="B4:I26"/>
  <sheetViews>
    <sheetView tabSelected="1" workbookViewId="0">
      <selection activeCell="K5" sqref="K5"/>
    </sheetView>
  </sheetViews>
  <sheetFormatPr baseColWidth="10" defaultRowHeight="15" x14ac:dyDescent="0.25"/>
  <cols>
    <col min="2" max="2" width="14.42578125" customWidth="1"/>
    <col min="3" max="3" width="13.42578125" customWidth="1"/>
    <col min="5" max="5" width="15.28515625" customWidth="1"/>
    <col min="7" max="7" width="17.7109375" customWidth="1"/>
    <col min="8" max="8" width="15.28515625" bestFit="1" customWidth="1"/>
    <col min="9" max="9" width="20.28515625" bestFit="1" customWidth="1"/>
    <col min="10" max="10" width="11.85546875" bestFit="1" customWidth="1"/>
  </cols>
  <sheetData>
    <row r="4" spans="2:9" x14ac:dyDescent="0.25">
      <c r="B4" t="s">
        <v>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49</v>
      </c>
    </row>
    <row r="5" spans="2:9" x14ac:dyDescent="0.25">
      <c r="B5" t="s">
        <v>0</v>
      </c>
      <c r="C5" t="s">
        <v>27</v>
      </c>
      <c r="D5" t="s">
        <v>31</v>
      </c>
      <c r="E5" t="s">
        <v>38</v>
      </c>
      <c r="F5">
        <v>15</v>
      </c>
      <c r="G5" s="1">
        <v>38978</v>
      </c>
      <c r="H5" t="s">
        <v>35</v>
      </c>
      <c r="I5" t="str">
        <f>IF(tabla_de_excel_A[[#This Row],[estado]]="en mantenimiento", "contactar tecnico","en revision")</f>
        <v>en revision</v>
      </c>
    </row>
    <row r="6" spans="2:9" x14ac:dyDescent="0.25">
      <c r="B6" t="s">
        <v>2</v>
      </c>
      <c r="C6" t="s">
        <v>28</v>
      </c>
      <c r="D6" t="s">
        <v>32</v>
      </c>
      <c r="E6" t="s">
        <v>39</v>
      </c>
      <c r="F6">
        <v>5</v>
      </c>
      <c r="G6" s="1">
        <v>37217</v>
      </c>
      <c r="H6" t="s">
        <v>36</v>
      </c>
      <c r="I6" t="str">
        <f>IF(tabla_de_excel_A[[#This Row],[estado]]="en mantenimiento", "contactar tecnico","en revision")</f>
        <v>en revision</v>
      </c>
    </row>
    <row r="7" spans="2:9" x14ac:dyDescent="0.25">
      <c r="B7" t="s">
        <v>3</v>
      </c>
      <c r="C7" t="s">
        <v>29</v>
      </c>
      <c r="D7" t="s">
        <v>33</v>
      </c>
      <c r="E7" t="s">
        <v>40</v>
      </c>
      <c r="F7">
        <v>10</v>
      </c>
      <c r="G7" s="1">
        <v>41255</v>
      </c>
      <c r="H7" t="s">
        <v>37</v>
      </c>
      <c r="I7" t="str">
        <f>IF(tabla_de_excel_A[[#This Row],[estado]]="en mantenimiento", "contactar tecnico","en revision")</f>
        <v>en revision</v>
      </c>
    </row>
    <row r="8" spans="2:9" x14ac:dyDescent="0.25">
      <c r="B8" t="s">
        <v>4</v>
      </c>
      <c r="C8" t="s">
        <v>30</v>
      </c>
      <c r="D8" t="s">
        <v>34</v>
      </c>
      <c r="E8" t="s">
        <v>38</v>
      </c>
      <c r="F8">
        <v>22</v>
      </c>
      <c r="G8" s="1">
        <v>40858</v>
      </c>
      <c r="H8" t="s">
        <v>35</v>
      </c>
      <c r="I8" t="str">
        <f>IF(tabla_de_excel_A[[#This Row],[estado]]="en mantenimiento", "contactar tecnico","en revision")</f>
        <v>en revision</v>
      </c>
    </row>
    <row r="9" spans="2:9" x14ac:dyDescent="0.25">
      <c r="B9" t="s">
        <v>5</v>
      </c>
      <c r="C9" t="s">
        <v>27</v>
      </c>
      <c r="D9" t="s">
        <v>31</v>
      </c>
      <c r="E9" t="s">
        <v>41</v>
      </c>
      <c r="F9">
        <v>11</v>
      </c>
      <c r="G9" s="1">
        <v>38978</v>
      </c>
      <c r="H9" t="s">
        <v>36</v>
      </c>
      <c r="I9" t="str">
        <f>IF(tabla_de_excel_A[[#This Row],[estado]]="en mantenimiento", "contactar tecnico","en revision")</f>
        <v>en revision</v>
      </c>
    </row>
    <row r="10" spans="2:9" x14ac:dyDescent="0.25">
      <c r="B10" t="s">
        <v>6</v>
      </c>
      <c r="C10" t="s">
        <v>28</v>
      </c>
      <c r="D10" t="s">
        <v>32</v>
      </c>
      <c r="E10" t="s">
        <v>40</v>
      </c>
      <c r="F10">
        <v>20</v>
      </c>
      <c r="G10" s="1">
        <v>37217</v>
      </c>
      <c r="H10" t="s">
        <v>37</v>
      </c>
      <c r="I10" t="str">
        <f>IF(tabla_de_excel_A[[#This Row],[estado]]="en mantenimiento", "contactar tecnico","en revision")</f>
        <v>en revision</v>
      </c>
    </row>
    <row r="11" spans="2:9" x14ac:dyDescent="0.25">
      <c r="B11" t="s">
        <v>7</v>
      </c>
      <c r="C11" t="s">
        <v>29</v>
      </c>
      <c r="D11" t="s">
        <v>33</v>
      </c>
      <c r="E11" t="s">
        <v>38</v>
      </c>
      <c r="F11">
        <v>16</v>
      </c>
      <c r="G11" s="1">
        <v>41255</v>
      </c>
      <c r="H11" t="s">
        <v>35</v>
      </c>
      <c r="I11" t="str">
        <f>IF(tabla_de_excel_A[[#This Row],[estado]]="en mantenimiento", "contactar tecnico","en revision")</f>
        <v>en revision</v>
      </c>
    </row>
    <row r="12" spans="2:9" x14ac:dyDescent="0.25">
      <c r="B12" t="s">
        <v>8</v>
      </c>
      <c r="C12" t="s">
        <v>30</v>
      </c>
      <c r="D12" t="s">
        <v>34</v>
      </c>
      <c r="E12" t="s">
        <v>39</v>
      </c>
      <c r="F12">
        <v>8</v>
      </c>
      <c r="G12" s="1">
        <v>40858</v>
      </c>
      <c r="H12" t="s">
        <v>36</v>
      </c>
      <c r="I12" t="str">
        <f>IF(tabla_de_excel_A[[#This Row],[estado]]="en mantenimiento", "contactar tecnico","en revision")</f>
        <v>en revision</v>
      </c>
    </row>
    <row r="13" spans="2:9" x14ac:dyDescent="0.25">
      <c r="B13" t="s">
        <v>9</v>
      </c>
      <c r="C13" t="s">
        <v>27</v>
      </c>
      <c r="D13" t="s">
        <v>31</v>
      </c>
      <c r="E13" t="s">
        <v>42</v>
      </c>
      <c r="F13">
        <v>45</v>
      </c>
      <c r="G13" s="1">
        <v>38978</v>
      </c>
      <c r="H13" t="s">
        <v>37</v>
      </c>
      <c r="I13" t="str">
        <f>IF(tabla_de_excel_A[[#This Row],[estado]]="en mantenimiento", "contactar tecnico","en revision")</f>
        <v>en revision</v>
      </c>
    </row>
    <row r="14" spans="2:9" x14ac:dyDescent="0.25">
      <c r="B14" t="s">
        <v>10</v>
      </c>
      <c r="C14" t="s">
        <v>28</v>
      </c>
      <c r="D14" t="s">
        <v>32</v>
      </c>
      <c r="E14" t="s">
        <v>38</v>
      </c>
      <c r="F14">
        <v>24</v>
      </c>
      <c r="G14" s="1">
        <v>37217</v>
      </c>
      <c r="H14" t="s">
        <v>35</v>
      </c>
      <c r="I14" t="str">
        <f>IF(tabla_de_excel_A[[#This Row],[estado]]="en mantenimiento", "contactar tecnico","en revision")</f>
        <v>en revision</v>
      </c>
    </row>
    <row r="15" spans="2:9" x14ac:dyDescent="0.25">
      <c r="B15" t="s">
        <v>11</v>
      </c>
      <c r="C15" t="s">
        <v>29</v>
      </c>
      <c r="D15" t="s">
        <v>33</v>
      </c>
      <c r="E15" t="s">
        <v>43</v>
      </c>
      <c r="F15">
        <v>35</v>
      </c>
      <c r="G15" s="1">
        <v>41255</v>
      </c>
      <c r="H15" t="s">
        <v>36</v>
      </c>
      <c r="I15" t="str">
        <f>IF(tabla_de_excel_A[[#This Row],[estado]]="en mantenimiento", "contactar tecnico","en revision")</f>
        <v>en revision</v>
      </c>
    </row>
    <row r="16" spans="2:9" x14ac:dyDescent="0.25">
      <c r="B16" t="s">
        <v>12</v>
      </c>
      <c r="C16" t="s">
        <v>30</v>
      </c>
      <c r="D16" t="s">
        <v>34</v>
      </c>
      <c r="E16" t="s">
        <v>44</v>
      </c>
      <c r="F16">
        <v>12</v>
      </c>
      <c r="G16" s="1">
        <v>40858</v>
      </c>
      <c r="H16" t="s">
        <v>37</v>
      </c>
      <c r="I16" t="str">
        <f>IF(tabla_de_excel_A[[#This Row],[estado]]="en mantenimiento", "contactar tecnico","en revision")</f>
        <v>en revision</v>
      </c>
    </row>
    <row r="17" spans="2:9" x14ac:dyDescent="0.25">
      <c r="B17" t="s">
        <v>13</v>
      </c>
      <c r="C17" t="s">
        <v>27</v>
      </c>
      <c r="D17" t="s">
        <v>31</v>
      </c>
      <c r="E17" t="s">
        <v>38</v>
      </c>
      <c r="F17">
        <v>13</v>
      </c>
      <c r="G17" s="1">
        <v>38978</v>
      </c>
      <c r="H17" t="s">
        <v>35</v>
      </c>
      <c r="I17" t="str">
        <f>IF(tabla_de_excel_A[[#This Row],[estado]]="en mantenimiento", "contactar tecnico","en revision")</f>
        <v>en revision</v>
      </c>
    </row>
    <row r="18" spans="2:9" x14ac:dyDescent="0.25">
      <c r="B18" t="s">
        <v>14</v>
      </c>
      <c r="C18" t="s">
        <v>28</v>
      </c>
      <c r="D18" t="s">
        <v>32</v>
      </c>
      <c r="E18" t="s">
        <v>39</v>
      </c>
      <c r="F18">
        <v>14</v>
      </c>
      <c r="G18" s="1">
        <v>37217</v>
      </c>
      <c r="H18" t="s">
        <v>36</v>
      </c>
      <c r="I18" t="str">
        <f>IF(tabla_de_excel_A[[#This Row],[estado]]="en mantenimiento", "contactar tecnico","en revision")</f>
        <v>en revision</v>
      </c>
    </row>
    <row r="19" spans="2:9" x14ac:dyDescent="0.25">
      <c r="B19" t="s">
        <v>15</v>
      </c>
      <c r="C19" t="s">
        <v>29</v>
      </c>
      <c r="D19" t="s">
        <v>33</v>
      </c>
      <c r="E19" t="s">
        <v>45</v>
      </c>
      <c r="F19">
        <v>15</v>
      </c>
      <c r="G19" s="1">
        <v>41255</v>
      </c>
      <c r="H19" t="s">
        <v>37</v>
      </c>
      <c r="I19" t="str">
        <f>IF(tabla_de_excel_A[[#This Row],[estado]]="en mantenimiento", "contactar tecnico","en revision")</f>
        <v>en revision</v>
      </c>
    </row>
    <row r="20" spans="2:9" x14ac:dyDescent="0.25">
      <c r="B20" t="s">
        <v>16</v>
      </c>
      <c r="C20" t="s">
        <v>30</v>
      </c>
      <c r="D20" t="s">
        <v>34</v>
      </c>
      <c r="E20" t="s">
        <v>38</v>
      </c>
      <c r="F20">
        <v>16</v>
      </c>
      <c r="G20" s="1">
        <v>40858</v>
      </c>
      <c r="H20" t="s">
        <v>35</v>
      </c>
      <c r="I20" t="str">
        <f>IF(tabla_de_excel_A[[#This Row],[estado]]="en mantenimiento", "contactar tecnico","en revision")</f>
        <v>en revision</v>
      </c>
    </row>
    <row r="21" spans="2:9" x14ac:dyDescent="0.25">
      <c r="B21" t="s">
        <v>17</v>
      </c>
      <c r="C21" t="s">
        <v>27</v>
      </c>
      <c r="D21" t="s">
        <v>31</v>
      </c>
      <c r="E21" t="s">
        <v>39</v>
      </c>
      <c r="F21">
        <v>50</v>
      </c>
      <c r="G21" s="1">
        <v>38978</v>
      </c>
      <c r="H21" t="s">
        <v>36</v>
      </c>
      <c r="I21" t="str">
        <f>IF(tabla_de_excel_A[[#This Row],[estado]]="en mantenimiento", "contactar tecnico","en revision")</f>
        <v>en revision</v>
      </c>
    </row>
    <row r="22" spans="2:9" x14ac:dyDescent="0.25">
      <c r="B22" t="s">
        <v>18</v>
      </c>
      <c r="C22" t="s">
        <v>28</v>
      </c>
      <c r="D22" t="s">
        <v>32</v>
      </c>
      <c r="E22" t="s">
        <v>46</v>
      </c>
      <c r="F22">
        <v>45</v>
      </c>
      <c r="G22" s="1">
        <v>37217</v>
      </c>
      <c r="H22" t="s">
        <v>37</v>
      </c>
      <c r="I22" t="str">
        <f>IF(tabla_de_excel_A[[#This Row],[estado]]="en mantenimiento", "contactar tecnico","en revision")</f>
        <v>en revision</v>
      </c>
    </row>
    <row r="23" spans="2:9" x14ac:dyDescent="0.25">
      <c r="B23" t="s">
        <v>19</v>
      </c>
      <c r="C23" t="s">
        <v>29</v>
      </c>
      <c r="D23" t="s">
        <v>33</v>
      </c>
      <c r="E23" t="s">
        <v>38</v>
      </c>
      <c r="F23">
        <v>28</v>
      </c>
      <c r="G23" s="1">
        <v>41255</v>
      </c>
      <c r="H23" t="s">
        <v>35</v>
      </c>
      <c r="I23" t="str">
        <f>IF(tabla_de_excel_A[[#This Row],[estado]]="en mantenimiento", "contactar tecnico","en revision")</f>
        <v>en revision</v>
      </c>
    </row>
    <row r="24" spans="2:9" x14ac:dyDescent="0.25">
      <c r="B24" t="s">
        <v>20</v>
      </c>
      <c r="C24" t="s">
        <v>30</v>
      </c>
      <c r="D24" t="s">
        <v>34</v>
      </c>
      <c r="E24" t="s">
        <v>39</v>
      </c>
      <c r="F24">
        <v>42</v>
      </c>
      <c r="G24" s="1">
        <v>40858</v>
      </c>
      <c r="H24" t="s">
        <v>36</v>
      </c>
      <c r="I24" t="str">
        <f>IF(tabla_de_excel_A[[#This Row],[estado]]="en mantenimiento", "contactar tecnico","en revision")</f>
        <v>en revision</v>
      </c>
    </row>
    <row r="25" spans="2:9" x14ac:dyDescent="0.25">
      <c r="B25" t="s">
        <v>47</v>
      </c>
      <c r="H25" t="s">
        <v>48</v>
      </c>
    </row>
    <row r="26" spans="2:9" x14ac:dyDescent="0.25">
      <c r="G26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LABA1-PC30</dc:creator>
  <cp:lastModifiedBy>LABA1-PC30</cp:lastModifiedBy>
  <dcterms:created xsi:type="dcterms:W3CDTF">2026-05-19T11:46:59Z</dcterms:created>
  <dcterms:modified xsi:type="dcterms:W3CDTF">2026-05-19T12:35:41Z</dcterms:modified>
</cp:coreProperties>
</file>
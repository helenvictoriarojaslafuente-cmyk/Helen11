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E6BB727-0E72-4ADD-9ADF-BDA2FECE29CC}" xr6:coauthVersionLast="47" xr6:coauthVersionMax="47" xr10:uidLastSave="{00000000-0000-0000-0000-000000000000}"/>
  <bookViews>
    <workbookView xWindow="-120" yWindow="450" windowWidth="29040" windowHeight="15270" xr2:uid="{38C24957-A08B-4553-A1A9-33DD65DBD64D}"/>
  </bookViews>
  <sheets>
    <sheet name="Hoja1" sheetId="1" r:id="rId1"/>
  </sheets>
  <definedNames>
    <definedName name="Inventario_Sistema">Hoja1!$A:$A</definedName>
    <definedName name="SegmentaciónDeDatos_Estado">#N/A</definedName>
    <definedName name="SegmentaciónDeDatos_Model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5" i="1"/>
  <c r="E6" i="1"/>
  <c r="E7" i="1"/>
  <c r="E8" i="1"/>
  <c r="E9" i="1"/>
  <c r="E10" i="1"/>
  <c r="E28" i="1"/>
  <c r="E29" i="1"/>
  <c r="E30" i="1"/>
  <c r="E31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4" i="1"/>
  <c r="E3" i="1"/>
  <c r="E2" i="1"/>
</calcChain>
</file>

<file path=xl/sharedStrings.xml><?xml version="1.0" encoding="utf-8"?>
<sst xmlns="http://schemas.openxmlformats.org/spreadsheetml/2006/main" count="127" uniqueCount="93">
  <si>
    <t>ID</t>
  </si>
  <si>
    <t>Equipo</t>
  </si>
  <si>
    <t>Marca</t>
  </si>
  <si>
    <t>Modelo</t>
  </si>
  <si>
    <t>Estado</t>
  </si>
  <si>
    <t>Laptop</t>
  </si>
  <si>
    <t>Dell</t>
  </si>
  <si>
    <t>Latitude 5420</t>
  </si>
  <si>
    <t>LAB1-002</t>
  </si>
  <si>
    <t>Desktop</t>
  </si>
  <si>
    <t>HP</t>
  </si>
  <si>
    <t>ProDesk 600</t>
  </si>
  <si>
    <t>Impresora</t>
  </si>
  <si>
    <t>Router</t>
  </si>
  <si>
    <t>Samsung</t>
  </si>
  <si>
    <t>Epson</t>
  </si>
  <si>
    <t>Cisco</t>
  </si>
  <si>
    <t>Odyssey G3</t>
  </si>
  <si>
    <t>Odyssey G4</t>
  </si>
  <si>
    <t>Odyssey G5</t>
  </si>
  <si>
    <t>Odyssey G6</t>
  </si>
  <si>
    <t>Eco Tnak L3210</t>
  </si>
  <si>
    <t>ISR 4331</t>
  </si>
  <si>
    <t>Monitor</t>
  </si>
  <si>
    <t>LAB1-001</t>
  </si>
  <si>
    <t>LAB1-003</t>
  </si>
  <si>
    <t>LAB1-004</t>
  </si>
  <si>
    <t>LAB1-005</t>
  </si>
  <si>
    <t>LAB1-006</t>
  </si>
  <si>
    <t>LAB1-007</t>
  </si>
  <si>
    <t>LAB1-008</t>
  </si>
  <si>
    <t>LAB1-009</t>
  </si>
  <si>
    <t>LAB1-010</t>
  </si>
  <si>
    <t>LAB1-011</t>
  </si>
  <si>
    <t>LAB1-012</t>
  </si>
  <si>
    <t>LAB1-013</t>
  </si>
  <si>
    <t>LAB1-014</t>
  </si>
  <si>
    <t>LAB1-015</t>
  </si>
  <si>
    <t>LAB1-016</t>
  </si>
  <si>
    <t>LAB1-017</t>
  </si>
  <si>
    <t>LAB1-018</t>
  </si>
  <si>
    <t>LAB1-019</t>
  </si>
  <si>
    <t>LAB1-020</t>
  </si>
  <si>
    <t>LAB1-021</t>
  </si>
  <si>
    <t>LAB1-022</t>
  </si>
  <si>
    <t>LAB1-023</t>
  </si>
  <si>
    <t>LAB1-024</t>
  </si>
  <si>
    <t>LAB1-025</t>
  </si>
  <si>
    <t>LAB1-026</t>
  </si>
  <si>
    <t>LAB1-027</t>
  </si>
  <si>
    <t>LAB1-028</t>
  </si>
  <si>
    <t>LAB1-029</t>
  </si>
  <si>
    <t>LAB1-030</t>
  </si>
  <si>
    <t xml:space="preserve">Mouse </t>
  </si>
  <si>
    <t xml:space="preserve">Tablet </t>
  </si>
  <si>
    <t>Smartphone</t>
  </si>
  <si>
    <t xml:space="preserve">Audifonos inalámbricos </t>
  </si>
  <si>
    <t>Cargador</t>
  </si>
  <si>
    <t xml:space="preserve">Bocina </t>
  </si>
  <si>
    <t xml:space="preserve">Teclado </t>
  </si>
  <si>
    <t xml:space="preserve">Escáner </t>
  </si>
  <si>
    <t xml:space="preserve">Proyector </t>
  </si>
  <si>
    <t>Consola de videojuegos</t>
  </si>
  <si>
    <t>GPS</t>
  </si>
  <si>
    <t xml:space="preserve">Cámara web </t>
  </si>
  <si>
    <t>Micrófono</t>
  </si>
  <si>
    <t xml:space="preserve">Disco duro </t>
  </si>
  <si>
    <t xml:space="preserve">Bateria externa portátil </t>
  </si>
  <si>
    <t xml:space="preserve">Ventilador </t>
  </si>
  <si>
    <t>Humificador</t>
  </si>
  <si>
    <t>Latitude 5421</t>
  </si>
  <si>
    <t>ProDesk 601</t>
  </si>
  <si>
    <t>Eco Tnak L3211</t>
  </si>
  <si>
    <t>ISR 4332</t>
  </si>
  <si>
    <t>Latitude 5422</t>
  </si>
  <si>
    <t>ProDesk 602</t>
  </si>
  <si>
    <t>Eco Tnak L3212</t>
  </si>
  <si>
    <t>ISR 4333</t>
  </si>
  <si>
    <t>Latitude 5423</t>
  </si>
  <si>
    <t>ProDesk 603</t>
  </si>
  <si>
    <t>Eco Tnak L3213</t>
  </si>
  <si>
    <t>ISR 4334</t>
  </si>
  <si>
    <t>Latitude 5424</t>
  </si>
  <si>
    <t>ProDesk 604</t>
  </si>
  <si>
    <t>Odyssey G7</t>
  </si>
  <si>
    <t>Eco Tnak L3214</t>
  </si>
  <si>
    <t>ISR 4335</t>
  </si>
  <si>
    <t>Latitude 5425</t>
  </si>
  <si>
    <t>ProDesk 605</t>
  </si>
  <si>
    <t>Odyssey G8</t>
  </si>
  <si>
    <t>Eco Tnak L3215</t>
  </si>
  <si>
    <t>Columna1</t>
  </si>
  <si>
    <t xml:space="preserve">Precio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</si>
</sst>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285750</xdr:colOff>
      <xdr:row>2</xdr:row>
      <xdr:rowOff>9525</xdr:rowOff>
    </xdr:from>
    <xdr:to>
      <xdr:col>13</xdr:col>
      <xdr:colOff>590550</xdr:colOff>
      <xdr:row>15</xdr:row>
      <xdr:rowOff>57150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odelo">
              <a:extLst>
                <a:ext uri="{FF2B5EF4-FFF2-40B4-BE49-F238E27FC236}">
                  <a16:creationId xmlns:a16="http://schemas.microsoft.com/office/drawing/2014/main" id="{D07497C7-9ED2-4CDF-B51F-89825E3A3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4050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733425</xdr:colOff>
      <xdr:row>2</xdr:row>
      <xdr:rowOff>95250</xdr:rowOff>
    </xdr:from>
    <xdr:to>
      <xdr:col>10</xdr:col>
      <xdr:colOff>276225</xdr:colOff>
      <xdr:row>15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Estado">
              <a:extLst>
                <a:ext uri="{FF2B5EF4-FFF2-40B4-BE49-F238E27FC236}">
                  <a16:creationId xmlns:a16="http://schemas.microsoft.com/office/drawing/2014/main" id="{2F0D3CBF-0DEC-4BF0-A0F3-C1C9CFBFE8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3725" y="476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" xr10:uid="{64952B2A-D24A-4E6E-8291-25CF943A937C}" sourceName="Modelo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53151B3A-7C96-457D-BED8-15E28C4F1A49}" sourceName="Estado">
  <extLst>
    <x:ext xmlns:x15="http://schemas.microsoft.com/office/spreadsheetml/2010/11/main" uri="{2F2917AC-EB37-4324-AD4E-5DD8C200BD13}">
      <x15:tableSlicerCache tableId="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" xr10:uid="{8FD26D3A-D7DB-4305-BB0C-198808583C41}" cache="SegmentaciónDeDatos_Modelo" caption="Modelo" rowHeight="241300"/>
  <slicer name="Estado" xr10:uid="{C5777BBC-3702-4C2D-98F4-46D1CAC0FA30}" cache="SegmentaciónDeDatos_Estado" caption="Estad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3B3A8-0948-4F70-ACDC-3E7323A7D23F}" name="Tabla2" displayName="Tabla2" ref="A1:G31" totalsRowShown="0">
  <autoFilter ref="A1:G31" xr:uid="{5903B3A8-0948-4F70-ACDC-3E7323A7D23F}"/>
  <tableColumns count="7">
    <tableColumn id="1" xr3:uid="{7031A7C4-3C55-4C61-8D8C-E81B3EA836A8}" name="ID"/>
    <tableColumn id="2" xr3:uid="{1180246A-B2A4-4709-B9BC-741F11CAC000}" name="Equipo"/>
    <tableColumn id="3" xr3:uid="{93CCD4F5-CA99-4F3E-B8D6-9407DF2DC19A}" name="Marca"/>
    <tableColumn id="4" xr3:uid="{5180E65B-F5B6-452D-94E2-92E29C8A2D49}" name="Modelo"/>
    <tableColumn id="5" xr3:uid="{D1DB16E5-0560-4DA5-A1E9-75BF52A9B982}" name="Estado"/>
    <tableColumn id="6" xr3:uid="{66BEBE16-3C27-4100-82B7-E27DC7A1FEB9}" name="Precio "/>
    <tableColumn id="7" xr3:uid="{2AAF0FF7-39AA-4911-969B-431AE503E2E3}" name="Columna1">
      <calculatedColumnFormula>_xlfn.CONCAT(A2, " 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198F-CB38-4AED-9A4D-5076E3088612}">
  <dimension ref="A1:G31"/>
  <sheetViews>
    <sheetView tabSelected="1" workbookViewId="0">
      <selection activeCell="E2" sqref="E2:E31"/>
    </sheetView>
  </sheetViews>
  <sheetFormatPr baseColWidth="10" defaultRowHeight="15" x14ac:dyDescent="0.25"/>
  <cols>
    <col min="1" max="1" width="9" bestFit="1" customWidth="1"/>
    <col min="2" max="2" width="22.5703125" bestFit="1" customWidth="1"/>
    <col min="3" max="3" width="8.85546875" bestFit="1" customWidth="1"/>
    <col min="4" max="4" width="13.85546875" bestFit="1" customWidth="1"/>
    <col min="6" max="6" width="9.140625" customWidth="1"/>
    <col min="7" max="7" width="1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92</v>
      </c>
      <c r="G1" t="s">
        <v>91</v>
      </c>
    </row>
    <row r="2" spans="1:7" x14ac:dyDescent="0.25">
      <c r="A2" t="s">
        <v>24</v>
      </c>
      <c r="B2" t="s">
        <v>5</v>
      </c>
      <c r="C2" t="s">
        <v>6</v>
      </c>
      <c r="D2" t="s">
        <v>7</v>
      </c>
      <c r="E2" t="str">
        <f>IF(F2&gt;=10,"Suficiente","Reponer")</f>
        <v>Suficiente</v>
      </c>
      <c r="F2">
        <v>3425</v>
      </c>
      <c r="G2" t="str">
        <f>_xlfn.CONCAT(A2, " ",C2)</f>
        <v>LAB1-001 Dell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tr">
        <f>IF(F3&gt;=10,"Suficiente","Reponer")</f>
        <v>Suficiente</v>
      </c>
      <c r="F3">
        <v>543</v>
      </c>
      <c r="G3" t="str">
        <f t="shared" ref="G3:G31" si="0">_xlfn.CONCAT(A3, " ",C3)</f>
        <v>LAB1-002 HP</v>
      </c>
    </row>
    <row r="4" spans="1:7" x14ac:dyDescent="0.25">
      <c r="A4" t="s">
        <v>25</v>
      </c>
      <c r="B4" t="s">
        <v>23</v>
      </c>
      <c r="C4" t="s">
        <v>14</v>
      </c>
      <c r="D4" t="s">
        <v>17</v>
      </c>
      <c r="E4" t="str">
        <f>IF(F4&gt;=10,"Suficiente","Reponer")</f>
        <v>Suficiente</v>
      </c>
      <c r="F4">
        <v>6367</v>
      </c>
      <c r="G4" t="str">
        <f t="shared" si="0"/>
        <v>LAB1-003 Samsung</v>
      </c>
    </row>
    <row r="5" spans="1:7" x14ac:dyDescent="0.25">
      <c r="A5" t="s">
        <v>26</v>
      </c>
      <c r="B5" t="s">
        <v>12</v>
      </c>
      <c r="C5" t="s">
        <v>15</v>
      </c>
      <c r="D5" t="s">
        <v>21</v>
      </c>
      <c r="E5" t="str">
        <f t="shared" ref="E5:E10" si="1">IF(F5&gt;=10,"Suficiente","Reponer")</f>
        <v>Suficiente</v>
      </c>
      <c r="F5">
        <v>75</v>
      </c>
      <c r="G5" t="str">
        <f t="shared" si="0"/>
        <v>LAB1-004 Epson</v>
      </c>
    </row>
    <row r="6" spans="1:7" x14ac:dyDescent="0.25">
      <c r="A6" t="s">
        <v>27</v>
      </c>
      <c r="B6" t="s">
        <v>13</v>
      </c>
      <c r="C6" t="s">
        <v>16</v>
      </c>
      <c r="D6" t="s">
        <v>22</v>
      </c>
      <c r="E6" t="str">
        <f t="shared" si="1"/>
        <v>Reponer</v>
      </c>
      <c r="F6">
        <v>2</v>
      </c>
      <c r="G6" t="str">
        <f t="shared" si="0"/>
        <v>LAB1-005 Cisco</v>
      </c>
    </row>
    <row r="7" spans="1:7" x14ac:dyDescent="0.25">
      <c r="A7" t="s">
        <v>28</v>
      </c>
      <c r="B7" t="s">
        <v>53</v>
      </c>
      <c r="C7" t="s">
        <v>6</v>
      </c>
      <c r="D7" t="s">
        <v>70</v>
      </c>
      <c r="E7" t="str">
        <f t="shared" si="1"/>
        <v>Suficiente</v>
      </c>
      <c r="F7">
        <v>543</v>
      </c>
      <c r="G7" t="str">
        <f t="shared" si="0"/>
        <v>LAB1-006 Dell</v>
      </c>
    </row>
    <row r="8" spans="1:7" x14ac:dyDescent="0.25">
      <c r="A8" t="s">
        <v>29</v>
      </c>
      <c r="B8" t="s">
        <v>54</v>
      </c>
      <c r="C8" t="s">
        <v>10</v>
      </c>
      <c r="D8" t="s">
        <v>71</v>
      </c>
      <c r="E8" t="str">
        <f t="shared" si="1"/>
        <v>Reponer</v>
      </c>
      <c r="F8">
        <v>3</v>
      </c>
      <c r="G8" t="str">
        <f t="shared" si="0"/>
        <v>LAB1-007 HP</v>
      </c>
    </row>
    <row r="9" spans="1:7" x14ac:dyDescent="0.25">
      <c r="A9" t="s">
        <v>30</v>
      </c>
      <c r="B9" t="s">
        <v>55</v>
      </c>
      <c r="C9" t="s">
        <v>14</v>
      </c>
      <c r="D9" t="s">
        <v>18</v>
      </c>
      <c r="E9" t="str">
        <f t="shared" si="1"/>
        <v>Suficiente</v>
      </c>
      <c r="F9">
        <v>64786</v>
      </c>
      <c r="G9" t="str">
        <f t="shared" si="0"/>
        <v>LAB1-008 Samsung</v>
      </c>
    </row>
    <row r="10" spans="1:7" x14ac:dyDescent="0.25">
      <c r="A10" t="s">
        <v>31</v>
      </c>
      <c r="B10" t="s">
        <v>56</v>
      </c>
      <c r="C10" t="s">
        <v>15</v>
      </c>
      <c r="D10" t="s">
        <v>72</v>
      </c>
      <c r="E10" t="str">
        <f t="shared" si="1"/>
        <v>Suficiente</v>
      </c>
      <c r="F10">
        <v>58</v>
      </c>
      <c r="G10" t="str">
        <f t="shared" si="0"/>
        <v>LAB1-009 Epson</v>
      </c>
    </row>
    <row r="11" spans="1:7" x14ac:dyDescent="0.25">
      <c r="A11" t="s">
        <v>32</v>
      </c>
      <c r="B11" t="s">
        <v>57</v>
      </c>
      <c r="C11" t="s">
        <v>16</v>
      </c>
      <c r="D11" t="s">
        <v>73</v>
      </c>
      <c r="E11" t="str">
        <f>IF(F5&gt;=10,"Suficiente","Reponer")</f>
        <v>Suficiente</v>
      </c>
      <c r="F11">
        <v>58</v>
      </c>
      <c r="G11" t="str">
        <f t="shared" si="0"/>
        <v>LAB1-010 Cisco</v>
      </c>
    </row>
    <row r="12" spans="1:7" x14ac:dyDescent="0.25">
      <c r="A12" t="s">
        <v>33</v>
      </c>
      <c r="B12" t="s">
        <v>58</v>
      </c>
      <c r="C12" t="s">
        <v>6</v>
      </c>
      <c r="D12" t="s">
        <v>74</v>
      </c>
      <c r="E12" t="str">
        <f>IF(F6&gt;=10,"Suficiente","Reponer")</f>
        <v>Reponer</v>
      </c>
      <c r="F12">
        <v>69</v>
      </c>
      <c r="G12" t="str">
        <f t="shared" si="0"/>
        <v>LAB1-011 Dell</v>
      </c>
    </row>
    <row r="13" spans="1:7" x14ac:dyDescent="0.25">
      <c r="A13" t="s">
        <v>34</v>
      </c>
      <c r="B13" t="s">
        <v>59</v>
      </c>
      <c r="C13" t="s">
        <v>10</v>
      </c>
      <c r="D13" t="s">
        <v>75</v>
      </c>
      <c r="E13" t="str">
        <f>IF(F7&gt;=10,"Suficiente","Reponer")</f>
        <v>Suficiente</v>
      </c>
      <c r="F13">
        <v>86</v>
      </c>
      <c r="G13" t="str">
        <f t="shared" si="0"/>
        <v>LAB1-012 HP</v>
      </c>
    </row>
    <row r="14" spans="1:7" x14ac:dyDescent="0.25">
      <c r="A14" t="s">
        <v>35</v>
      </c>
      <c r="B14" t="s">
        <v>60</v>
      </c>
      <c r="C14" t="s">
        <v>14</v>
      </c>
      <c r="D14" t="s">
        <v>19</v>
      </c>
      <c r="E14" t="str">
        <f>IF(F8&gt;=10,"Suficiente","Reponer")</f>
        <v>Reponer</v>
      </c>
      <c r="F14">
        <v>4</v>
      </c>
      <c r="G14" t="str">
        <f t="shared" si="0"/>
        <v>LAB1-013 Samsung</v>
      </c>
    </row>
    <row r="15" spans="1:7" x14ac:dyDescent="0.25">
      <c r="A15" t="s">
        <v>36</v>
      </c>
      <c r="B15" t="s">
        <v>61</v>
      </c>
      <c r="C15" t="s">
        <v>15</v>
      </c>
      <c r="D15" t="s">
        <v>76</v>
      </c>
      <c r="E15" t="str">
        <f>IF(F9&gt;=10,"Suficiente","Reponer")</f>
        <v>Suficiente</v>
      </c>
      <c r="F15">
        <v>64</v>
      </c>
      <c r="G15" t="str">
        <f t="shared" si="0"/>
        <v>LAB1-014 Epson</v>
      </c>
    </row>
    <row r="16" spans="1:7" x14ac:dyDescent="0.25">
      <c r="A16" t="s">
        <v>37</v>
      </c>
      <c r="B16" t="s">
        <v>62</v>
      </c>
      <c r="C16" t="s">
        <v>16</v>
      </c>
      <c r="D16" t="s">
        <v>77</v>
      </c>
      <c r="E16" t="str">
        <f>IF(F10&gt;=10,"Suficiente","Reponer")</f>
        <v>Suficiente</v>
      </c>
      <c r="F16">
        <v>5</v>
      </c>
      <c r="G16" t="str">
        <f t="shared" si="0"/>
        <v>LAB1-015 Cisco</v>
      </c>
    </row>
    <row r="17" spans="1:7" x14ac:dyDescent="0.25">
      <c r="A17" t="s">
        <v>38</v>
      </c>
      <c r="B17" t="s">
        <v>63</v>
      </c>
      <c r="C17" t="s">
        <v>6</v>
      </c>
      <c r="D17" t="s">
        <v>78</v>
      </c>
      <c r="E17" t="str">
        <f>IF(F11&gt;=10,"Suficiente","Reponer")</f>
        <v>Suficiente</v>
      </c>
      <c r="F17">
        <v>365</v>
      </c>
      <c r="G17" t="str">
        <f t="shared" si="0"/>
        <v>LAB1-016 Dell</v>
      </c>
    </row>
    <row r="18" spans="1:7" x14ac:dyDescent="0.25">
      <c r="A18" t="s">
        <v>39</v>
      </c>
      <c r="B18" t="s">
        <v>64</v>
      </c>
      <c r="C18" t="s">
        <v>10</v>
      </c>
      <c r="D18" t="s">
        <v>79</v>
      </c>
      <c r="E18" t="str">
        <f>IF(F12&gt;=10,"Suficiente","Reponer")</f>
        <v>Suficiente</v>
      </c>
      <c r="F18">
        <v>76578</v>
      </c>
      <c r="G18" t="str">
        <f t="shared" si="0"/>
        <v>LAB1-017 HP</v>
      </c>
    </row>
    <row r="19" spans="1:7" x14ac:dyDescent="0.25">
      <c r="A19" t="s">
        <v>40</v>
      </c>
      <c r="B19" t="s">
        <v>65</v>
      </c>
      <c r="C19" t="s">
        <v>14</v>
      </c>
      <c r="D19" t="s">
        <v>20</v>
      </c>
      <c r="E19" t="str">
        <f>IF(F13&gt;=10,"Suficiente","Reponer")</f>
        <v>Suficiente</v>
      </c>
      <c r="F19">
        <v>65746</v>
      </c>
      <c r="G19" t="str">
        <f t="shared" si="0"/>
        <v>LAB1-018 Samsung</v>
      </c>
    </row>
    <row r="20" spans="1:7" x14ac:dyDescent="0.25">
      <c r="A20" t="s">
        <v>41</v>
      </c>
      <c r="B20" t="s">
        <v>66</v>
      </c>
      <c r="C20" t="s">
        <v>15</v>
      </c>
      <c r="D20" t="s">
        <v>80</v>
      </c>
      <c r="E20" t="str">
        <f>IF(F14&gt;=10,"Suficiente","Reponer")</f>
        <v>Reponer</v>
      </c>
      <c r="F20">
        <v>5</v>
      </c>
      <c r="G20" t="str">
        <f t="shared" si="0"/>
        <v>LAB1-019 Epson</v>
      </c>
    </row>
    <row r="21" spans="1:7" x14ac:dyDescent="0.25">
      <c r="A21" t="s">
        <v>42</v>
      </c>
      <c r="B21" t="s">
        <v>67</v>
      </c>
      <c r="C21" t="s">
        <v>16</v>
      </c>
      <c r="D21" t="s">
        <v>81</v>
      </c>
      <c r="E21" t="str">
        <f>IF(F15&gt;=10,"Suficiente","Reponer")</f>
        <v>Suficiente</v>
      </c>
      <c r="F21">
        <v>46</v>
      </c>
      <c r="G21" t="str">
        <f t="shared" si="0"/>
        <v>LAB1-020 Cisco</v>
      </c>
    </row>
    <row r="22" spans="1:7" x14ac:dyDescent="0.25">
      <c r="A22" t="s">
        <v>43</v>
      </c>
      <c r="B22" t="s">
        <v>68</v>
      </c>
      <c r="C22" t="s">
        <v>6</v>
      </c>
      <c r="D22" t="s">
        <v>82</v>
      </c>
      <c r="E22" t="str">
        <f>IF(F16&gt;=10,"Suficiente","Reponer")</f>
        <v>Reponer</v>
      </c>
      <c r="F22">
        <v>44576765</v>
      </c>
      <c r="G22" t="str">
        <f t="shared" si="0"/>
        <v>LAB1-021 Dell</v>
      </c>
    </row>
    <row r="23" spans="1:7" x14ac:dyDescent="0.25">
      <c r="A23" t="s">
        <v>44</v>
      </c>
      <c r="B23" t="s">
        <v>69</v>
      </c>
      <c r="C23" t="s">
        <v>10</v>
      </c>
      <c r="D23" t="s">
        <v>83</v>
      </c>
      <c r="E23" t="str">
        <f>IF(F17&gt;=10,"Suficiente","Reponer")</f>
        <v>Suficiente</v>
      </c>
      <c r="F23">
        <v>65</v>
      </c>
      <c r="G23" t="str">
        <f t="shared" si="0"/>
        <v>LAB1-022 HP</v>
      </c>
    </row>
    <row r="24" spans="1:7" x14ac:dyDescent="0.25">
      <c r="A24" t="s">
        <v>45</v>
      </c>
      <c r="B24" t="s">
        <v>5</v>
      </c>
      <c r="C24" t="s">
        <v>14</v>
      </c>
      <c r="D24" t="s">
        <v>84</v>
      </c>
      <c r="E24" t="str">
        <f>IF(F18&gt;=10,"Suficiente","Reponer")</f>
        <v>Suficiente</v>
      </c>
      <c r="F24">
        <v>85</v>
      </c>
      <c r="G24" t="str">
        <f t="shared" si="0"/>
        <v>LAB1-023 Samsung</v>
      </c>
    </row>
    <row r="25" spans="1:7" x14ac:dyDescent="0.25">
      <c r="A25" t="s">
        <v>46</v>
      </c>
      <c r="B25" t="s">
        <v>9</v>
      </c>
      <c r="C25" t="s">
        <v>15</v>
      </c>
      <c r="D25" t="s">
        <v>85</v>
      </c>
      <c r="E25" t="str">
        <f>IF(F19&gt;=10,"Suficiente","Reponer")</f>
        <v>Suficiente</v>
      </c>
      <c r="F25">
        <v>875</v>
      </c>
      <c r="G25" t="str">
        <f t="shared" si="0"/>
        <v>LAB1-024 Epson</v>
      </c>
    </row>
    <row r="26" spans="1:7" x14ac:dyDescent="0.25">
      <c r="A26" t="s">
        <v>47</v>
      </c>
      <c r="B26" t="s">
        <v>23</v>
      </c>
      <c r="C26" t="s">
        <v>16</v>
      </c>
      <c r="D26" t="s">
        <v>86</v>
      </c>
      <c r="E26" t="str">
        <f>IF(F20&gt;=10,"Suficiente","Reponer")</f>
        <v>Reponer</v>
      </c>
      <c r="F26">
        <v>875</v>
      </c>
      <c r="G26" t="str">
        <f t="shared" si="0"/>
        <v>LAB1-025 Cisco</v>
      </c>
    </row>
    <row r="27" spans="1:7" x14ac:dyDescent="0.25">
      <c r="A27" t="s">
        <v>48</v>
      </c>
      <c r="B27" t="s">
        <v>12</v>
      </c>
      <c r="C27" t="s">
        <v>6</v>
      </c>
      <c r="D27" t="s">
        <v>87</v>
      </c>
      <c r="E27" t="str">
        <f>IF(F21&gt;=10,"Suficiente","Reponer")</f>
        <v>Suficiente</v>
      </c>
      <c r="F27">
        <v>2</v>
      </c>
      <c r="G27" t="str">
        <f t="shared" si="0"/>
        <v>LAB1-026 Dell</v>
      </c>
    </row>
    <row r="28" spans="1:7" x14ac:dyDescent="0.25">
      <c r="A28" t="s">
        <v>49</v>
      </c>
      <c r="B28" t="s">
        <v>13</v>
      </c>
      <c r="C28" t="s">
        <v>10</v>
      </c>
      <c r="D28" t="s">
        <v>88</v>
      </c>
      <c r="E28" t="str">
        <f t="shared" ref="E28:E31" si="2">IF(F22&gt;=10,"Suficiente","Reponer")</f>
        <v>Suficiente</v>
      </c>
      <c r="F28">
        <v>3</v>
      </c>
      <c r="G28" t="str">
        <f t="shared" si="0"/>
        <v>LAB1-027 HP</v>
      </c>
    </row>
    <row r="29" spans="1:7" x14ac:dyDescent="0.25">
      <c r="A29" t="s">
        <v>50</v>
      </c>
      <c r="B29" t="s">
        <v>53</v>
      </c>
      <c r="C29" t="s">
        <v>14</v>
      </c>
      <c r="D29" t="s">
        <v>89</v>
      </c>
      <c r="E29" t="str">
        <f t="shared" si="2"/>
        <v>Suficiente</v>
      </c>
      <c r="F29">
        <v>53</v>
      </c>
      <c r="G29" t="str">
        <f t="shared" si="0"/>
        <v>LAB1-028 Samsung</v>
      </c>
    </row>
    <row r="30" spans="1:7" x14ac:dyDescent="0.25">
      <c r="A30" t="s">
        <v>51</v>
      </c>
      <c r="B30" t="s">
        <v>54</v>
      </c>
      <c r="C30" t="s">
        <v>15</v>
      </c>
      <c r="D30" t="s">
        <v>90</v>
      </c>
      <c r="E30" t="str">
        <f t="shared" si="2"/>
        <v>Suficiente</v>
      </c>
      <c r="F30">
        <v>6</v>
      </c>
      <c r="G30" t="str">
        <f t="shared" si="0"/>
        <v>LAB1-029 Epson</v>
      </c>
    </row>
    <row r="31" spans="1:7" x14ac:dyDescent="0.25">
      <c r="A31" t="s">
        <v>52</v>
      </c>
      <c r="B31" t="s">
        <v>55</v>
      </c>
      <c r="C31" t="s">
        <v>16</v>
      </c>
      <c r="D31" t="s">
        <v>70</v>
      </c>
      <c r="E31" t="str">
        <f t="shared" si="2"/>
        <v>Suficiente</v>
      </c>
      <c r="F31">
        <v>4</v>
      </c>
      <c r="G31" t="str">
        <f t="shared" si="0"/>
        <v>LAB1-030 Cisco</v>
      </c>
    </row>
  </sheetData>
  <phoneticPr fontId="1" type="noConversion"/>
  <conditionalFormatting sqref="E2">
    <cfRule type="containsText" dxfId="1" priority="2" operator="containsText" text="Reponer">
      <formula>NOT(ISERROR(SEARCH("Reponer",E2)))</formula>
    </cfRule>
  </conditionalFormatting>
  <conditionalFormatting sqref="E2:E31">
    <cfRule type="containsText" dxfId="0" priority="1" operator="containsText" text="Reponer">
      <formula>NOT(ISERROR(SEARCH("Reponer",E2)))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Inventario_Sistema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LABA1-PC30</dc:creator>
  <cp:lastModifiedBy>LABA1-PC30</cp:lastModifiedBy>
  <dcterms:created xsi:type="dcterms:W3CDTF">2026-04-28T12:28:31Z</dcterms:created>
  <dcterms:modified xsi:type="dcterms:W3CDTF">2026-04-28T13:25:40Z</dcterms:modified>
</cp:coreProperties>
</file>
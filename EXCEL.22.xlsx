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40DEA78-ED56-4688-9B53-B5DEF418C515}" xr6:coauthVersionLast="47" xr6:coauthVersionMax="47" xr10:uidLastSave="{00000000-0000-0000-0000-000000000000}"/>
  <bookViews>
    <workbookView xWindow="-120" yWindow="450" windowWidth="29040" windowHeight="15270" xr2:uid="{8669BF3B-238C-497A-A314-475E7266EF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H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<sst xmlns="http://schemas.openxmlformats.org/spreadsheetml/2006/main" count="67" uniqueCount="41">
  <si>
    <t>Nº</t>
  </si>
  <si>
    <t>Componentes</t>
  </si>
  <si>
    <t>Marca</t>
  </si>
  <si>
    <t>Modelo</t>
  </si>
  <si>
    <t>Stock</t>
  </si>
  <si>
    <t>Memoria RAM</t>
  </si>
  <si>
    <t xml:space="preserve">Placa base </t>
  </si>
  <si>
    <t>Condensador</t>
  </si>
  <si>
    <t xml:space="preserve">Diodo </t>
  </si>
  <si>
    <t>Circuito integrado</t>
  </si>
  <si>
    <t xml:space="preserve">Sensor de imagen </t>
  </si>
  <si>
    <t xml:space="preserve">Bateria de iones de litio </t>
  </si>
  <si>
    <t>Fotorresistor</t>
  </si>
  <si>
    <t xml:space="preserve">Interruptor </t>
  </si>
  <si>
    <t xml:space="preserve">Intel </t>
  </si>
  <si>
    <t xml:space="preserve">Microprocesador </t>
  </si>
  <si>
    <t>i7-12700K</t>
  </si>
  <si>
    <t>AMD</t>
  </si>
  <si>
    <t>Vengeance</t>
  </si>
  <si>
    <t xml:space="preserve">Disco duro solìdo </t>
  </si>
  <si>
    <t>NVIDIA</t>
  </si>
  <si>
    <t>600W</t>
  </si>
  <si>
    <t>Tarjeta gràfica</t>
  </si>
  <si>
    <t>TSMC</t>
  </si>
  <si>
    <t>10W</t>
  </si>
  <si>
    <t>Samsung</t>
  </si>
  <si>
    <t>1100w</t>
  </si>
  <si>
    <t>Transistor</t>
  </si>
  <si>
    <t>Kngston</t>
  </si>
  <si>
    <t>Resistor</t>
  </si>
  <si>
    <t>Seagate</t>
  </si>
  <si>
    <t xml:space="preserve">Microcntrolador </t>
  </si>
  <si>
    <t>Puerto USB</t>
  </si>
  <si>
    <t>Pantalla táctil</t>
  </si>
  <si>
    <t>45W</t>
  </si>
  <si>
    <t>Módulo WI_FI</t>
  </si>
  <si>
    <t xml:space="preserve">Transformador </t>
  </si>
  <si>
    <t xml:space="preserve">Parlante </t>
  </si>
  <si>
    <t>20W</t>
  </si>
  <si>
    <t xml:space="preserve">Estado </t>
  </si>
  <si>
    <t xml:space="preserve">Precio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</si>
</sst>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Bs&quot;* #,##0.00_-;\-&quot;Bs&quot;* #,##0.00_-;_-&quot;Bs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Border="1"/>
    <xf numFmtId="44" fontId="0" fillId="0" borderId="0" xfId="1" applyFont="1" applyBorder="1"/>
    <xf numFmtId="0" fontId="0" fillId="0" borderId="0" xfId="0" applyFill="1" applyBorder="1"/>
  </cellXfs>
  <cellStyles count="2">
    <cellStyle name="Moneda" xfId="1" builtinId="4"/>
    <cellStyle name="Normal" xfId="0" builtinId="0"/>
  </cellStyles>
  <dxfs count="3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E65B-666B-45AC-897C-467AE22E4E19}">
  <dimension ref="A1:H21"/>
  <sheetViews>
    <sheetView tabSelected="1" workbookViewId="0">
      <selection activeCell="B22" sqref="B22"/>
    </sheetView>
  </sheetViews>
  <sheetFormatPr baseColWidth="10" defaultRowHeight="15" x14ac:dyDescent="0.25"/>
  <cols>
    <col min="1" max="1" width="3.28515625" bestFit="1" customWidth="1"/>
    <col min="2" max="2" width="22.7109375" bestFit="1" customWidth="1"/>
    <col min="6" max="6" width="6" bestFit="1" customWidth="1"/>
    <col min="7" max="7" width="12.5703125" bestFit="1" customWidth="1"/>
    <col min="8" max="8" width="4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</v>
      </c>
      <c r="G1" s="1" t="s">
        <v>40</v>
      </c>
      <c r="H1" s="1"/>
    </row>
    <row r="2" spans="1:8" x14ac:dyDescent="0.25">
      <c r="A2" s="1">
        <v>1</v>
      </c>
      <c r="B2" s="1" t="s">
        <v>15</v>
      </c>
      <c r="C2" s="1" t="s">
        <v>14</v>
      </c>
      <c r="D2" s="1" t="s">
        <v>16</v>
      </c>
      <c r="E2" s="1" t="str">
        <f>IF(F2&gt;=10,"Suficiente","Reponer")</f>
        <v>Reponer</v>
      </c>
      <c r="F2" s="1">
        <v>1</v>
      </c>
      <c r="G2" s="2">
        <v>342</v>
      </c>
      <c r="H2" s="1" t="str">
        <f>_xlfn.CONCAT(B2," ",C2," ",D2)</f>
        <v>Microprocesador  Intel  i7-12700K</v>
      </c>
    </row>
    <row r="3" spans="1:8" x14ac:dyDescent="0.25">
      <c r="A3" s="1">
        <v>2</v>
      </c>
      <c r="B3" s="1" t="s">
        <v>5</v>
      </c>
      <c r="C3" s="1" t="s">
        <v>17</v>
      </c>
      <c r="D3" s="1" t="s">
        <v>18</v>
      </c>
      <c r="E3" s="1" t="str">
        <f t="shared" ref="E3:E21" si="0">IF(F3&gt;=10,"Suficiente","Reponer")</f>
        <v>Suficiente</v>
      </c>
      <c r="F3" s="1">
        <v>10</v>
      </c>
      <c r="G3" s="2">
        <v>4325</v>
      </c>
      <c r="H3" s="1" t="str">
        <f t="shared" ref="H3:H21" si="1">_xlfn.CONCAT(B3," ",C3," ",D3)</f>
        <v>Memoria RAM AMD Vengeance</v>
      </c>
    </row>
    <row r="4" spans="1:8" x14ac:dyDescent="0.25">
      <c r="A4" s="1">
        <v>3</v>
      </c>
      <c r="B4" s="1" t="s">
        <v>19</v>
      </c>
      <c r="C4" s="1" t="s">
        <v>20</v>
      </c>
      <c r="D4" s="1" t="s">
        <v>21</v>
      </c>
      <c r="E4" s="1" t="str">
        <f t="shared" si="0"/>
        <v>Reponer</v>
      </c>
      <c r="F4" s="1">
        <v>2</v>
      </c>
      <c r="G4" s="2">
        <v>435</v>
      </c>
      <c r="H4" s="1" t="str">
        <f t="shared" si="1"/>
        <v>Disco duro solìdo  NVIDIA 600W</v>
      </c>
    </row>
    <row r="5" spans="1:8" x14ac:dyDescent="0.25">
      <c r="A5" s="1">
        <v>4</v>
      </c>
      <c r="B5" s="1" t="s">
        <v>22</v>
      </c>
      <c r="C5" s="1" t="s">
        <v>23</v>
      </c>
      <c r="D5" s="1" t="s">
        <v>24</v>
      </c>
      <c r="E5" s="1" t="str">
        <f t="shared" si="0"/>
        <v>Reponer</v>
      </c>
      <c r="F5" s="1">
        <v>3</v>
      </c>
      <c r="G5" s="2">
        <v>4353</v>
      </c>
      <c r="H5" s="1" t="str">
        <f t="shared" si="1"/>
        <v>Tarjeta gràfica TSMC 10W</v>
      </c>
    </row>
    <row r="6" spans="1:8" x14ac:dyDescent="0.25">
      <c r="A6" s="1">
        <v>5</v>
      </c>
      <c r="B6" s="1" t="s">
        <v>6</v>
      </c>
      <c r="C6" s="1" t="s">
        <v>25</v>
      </c>
      <c r="D6" s="1" t="s">
        <v>26</v>
      </c>
      <c r="E6" s="1" t="str">
        <f t="shared" si="0"/>
        <v>Suficiente</v>
      </c>
      <c r="F6" s="1">
        <v>443</v>
      </c>
      <c r="G6" s="2">
        <v>4399.5</v>
      </c>
      <c r="H6" s="1" t="str">
        <f t="shared" si="1"/>
        <v>Placa base  Samsung 1100w</v>
      </c>
    </row>
    <row r="7" spans="1:8" x14ac:dyDescent="0.25">
      <c r="A7" s="1">
        <v>6</v>
      </c>
      <c r="B7" s="1" t="s">
        <v>27</v>
      </c>
      <c r="C7" s="1" t="s">
        <v>28</v>
      </c>
      <c r="D7" s="1" t="s">
        <v>16</v>
      </c>
      <c r="E7" s="1" t="str">
        <f t="shared" si="0"/>
        <v>Suficiente</v>
      </c>
      <c r="F7" s="1">
        <v>53</v>
      </c>
      <c r="G7" s="2">
        <v>5213.8</v>
      </c>
      <c r="H7" s="1" t="str">
        <f t="shared" si="1"/>
        <v>Transistor Kngston i7-12700K</v>
      </c>
    </row>
    <row r="8" spans="1:8" x14ac:dyDescent="0.25">
      <c r="A8" s="1">
        <v>7</v>
      </c>
      <c r="B8" s="1" t="s">
        <v>29</v>
      </c>
      <c r="C8" s="1" t="s">
        <v>30</v>
      </c>
      <c r="D8" s="1" t="s">
        <v>18</v>
      </c>
      <c r="E8" s="1" t="str">
        <f t="shared" si="0"/>
        <v>Reponer</v>
      </c>
      <c r="F8" s="1">
        <v>5</v>
      </c>
      <c r="G8" s="2">
        <v>6028.1</v>
      </c>
      <c r="H8" s="1" t="str">
        <f t="shared" si="1"/>
        <v>Resistor Seagate Vengeance</v>
      </c>
    </row>
    <row r="9" spans="1:8" x14ac:dyDescent="0.25">
      <c r="A9" s="1">
        <v>8</v>
      </c>
      <c r="B9" s="1" t="s">
        <v>7</v>
      </c>
      <c r="C9" s="1" t="s">
        <v>14</v>
      </c>
      <c r="D9" s="1" t="s">
        <v>21</v>
      </c>
      <c r="E9" s="1" t="str">
        <f t="shared" si="0"/>
        <v>Reponer</v>
      </c>
      <c r="F9" s="1">
        <v>9</v>
      </c>
      <c r="G9" s="2">
        <v>6842.4</v>
      </c>
      <c r="H9" s="1" t="str">
        <f t="shared" si="1"/>
        <v>Condensador Intel  600W</v>
      </c>
    </row>
    <row r="10" spans="1:8" x14ac:dyDescent="0.25">
      <c r="A10" s="1">
        <v>9</v>
      </c>
      <c r="B10" s="1" t="s">
        <v>8</v>
      </c>
      <c r="C10" s="1" t="s">
        <v>17</v>
      </c>
      <c r="D10" s="1" t="s">
        <v>24</v>
      </c>
      <c r="E10" s="1" t="str">
        <f t="shared" si="0"/>
        <v>Reponer</v>
      </c>
      <c r="F10" s="1">
        <v>1</v>
      </c>
      <c r="G10" s="2">
        <v>7656.7</v>
      </c>
      <c r="H10" s="1" t="str">
        <f t="shared" si="1"/>
        <v>Diodo  AMD 10W</v>
      </c>
    </row>
    <row r="11" spans="1:8" x14ac:dyDescent="0.25">
      <c r="A11" s="1">
        <v>10</v>
      </c>
      <c r="B11" s="1" t="s">
        <v>9</v>
      </c>
      <c r="C11" s="1" t="s">
        <v>20</v>
      </c>
      <c r="D11" s="1" t="s">
        <v>26</v>
      </c>
      <c r="E11" s="1" t="str">
        <f t="shared" si="0"/>
        <v>Suficiente</v>
      </c>
      <c r="F11" s="1">
        <v>321</v>
      </c>
      <c r="G11" s="2">
        <v>8471</v>
      </c>
      <c r="H11" s="1" t="str">
        <f t="shared" si="1"/>
        <v>Circuito integrado NVIDIA 1100w</v>
      </c>
    </row>
    <row r="12" spans="1:8" x14ac:dyDescent="0.25">
      <c r="A12" s="1">
        <v>11</v>
      </c>
      <c r="B12" s="1" t="s">
        <v>10</v>
      </c>
      <c r="C12" s="1" t="s">
        <v>23</v>
      </c>
      <c r="D12" s="1" t="s">
        <v>16</v>
      </c>
      <c r="E12" s="1" t="str">
        <f t="shared" si="0"/>
        <v>Suficiente</v>
      </c>
      <c r="F12" s="1">
        <v>543</v>
      </c>
      <c r="G12" s="2">
        <v>9285.2999999999993</v>
      </c>
      <c r="H12" s="1" t="str">
        <f t="shared" si="1"/>
        <v>Sensor de imagen  TSMC i7-12700K</v>
      </c>
    </row>
    <row r="13" spans="1:8" x14ac:dyDescent="0.25">
      <c r="A13" s="1">
        <v>12</v>
      </c>
      <c r="B13" s="1" t="s">
        <v>11</v>
      </c>
      <c r="C13" s="1" t="s">
        <v>25</v>
      </c>
      <c r="D13" s="1" t="s">
        <v>18</v>
      </c>
      <c r="E13" s="1" t="str">
        <f t="shared" si="0"/>
        <v>Reponer</v>
      </c>
      <c r="F13" s="1">
        <v>7</v>
      </c>
      <c r="G13" s="2">
        <v>10099.6</v>
      </c>
      <c r="H13" s="1" t="str">
        <f t="shared" si="1"/>
        <v>Bateria de iones de litio  Samsung Vengeance</v>
      </c>
    </row>
    <row r="14" spans="1:8" x14ac:dyDescent="0.25">
      <c r="A14" s="1">
        <v>13</v>
      </c>
      <c r="B14" s="1" t="s">
        <v>31</v>
      </c>
      <c r="C14" s="1" t="s">
        <v>28</v>
      </c>
      <c r="D14" s="1" t="s">
        <v>21</v>
      </c>
      <c r="E14" s="1" t="str">
        <f t="shared" si="0"/>
        <v>Suficiente</v>
      </c>
      <c r="F14" s="1">
        <v>58</v>
      </c>
      <c r="G14" s="2">
        <v>10913.9</v>
      </c>
      <c r="H14" s="1" t="str">
        <f t="shared" si="1"/>
        <v>Microcntrolador  Kngston 600W</v>
      </c>
    </row>
    <row r="15" spans="1:8" x14ac:dyDescent="0.25">
      <c r="A15" s="1">
        <v>14</v>
      </c>
      <c r="B15" s="1" t="s">
        <v>32</v>
      </c>
      <c r="C15" s="1" t="s">
        <v>30</v>
      </c>
      <c r="D15" s="1" t="s">
        <v>24</v>
      </c>
      <c r="E15" s="1" t="str">
        <f t="shared" si="0"/>
        <v>Suficiente</v>
      </c>
      <c r="F15" s="1">
        <v>67574</v>
      </c>
      <c r="G15" s="2">
        <v>11728.2</v>
      </c>
      <c r="H15" s="1" t="str">
        <f t="shared" si="1"/>
        <v>Puerto USB Seagate 10W</v>
      </c>
    </row>
    <row r="16" spans="1:8" x14ac:dyDescent="0.25">
      <c r="A16" s="1">
        <v>15</v>
      </c>
      <c r="B16" s="1" t="s">
        <v>33</v>
      </c>
      <c r="C16" s="1" t="s">
        <v>14</v>
      </c>
      <c r="D16" s="1" t="s">
        <v>34</v>
      </c>
      <c r="E16" s="1" t="str">
        <f t="shared" si="0"/>
        <v>Suficiente</v>
      </c>
      <c r="F16" s="1">
        <v>636</v>
      </c>
      <c r="G16" s="2">
        <v>12542.5</v>
      </c>
      <c r="H16" s="1" t="str">
        <f t="shared" si="1"/>
        <v>Pantalla táctil Intel  45W</v>
      </c>
    </row>
    <row r="17" spans="1:8" x14ac:dyDescent="0.25">
      <c r="A17" s="1">
        <v>16</v>
      </c>
      <c r="B17" s="1" t="s">
        <v>35</v>
      </c>
      <c r="C17" s="1" t="s">
        <v>17</v>
      </c>
      <c r="D17" s="1" t="s">
        <v>21</v>
      </c>
      <c r="E17" s="1" t="str">
        <f t="shared" si="0"/>
        <v>Suficiente</v>
      </c>
      <c r="F17" s="1">
        <v>35</v>
      </c>
      <c r="G17" s="2">
        <v>13356.8</v>
      </c>
      <c r="H17" s="1" t="str">
        <f t="shared" si="1"/>
        <v>Módulo WI_FI AMD 600W</v>
      </c>
    </row>
    <row r="18" spans="1:8" x14ac:dyDescent="0.25">
      <c r="A18" s="1">
        <v>17</v>
      </c>
      <c r="B18" s="1" t="s">
        <v>36</v>
      </c>
      <c r="C18" s="1" t="s">
        <v>20</v>
      </c>
      <c r="D18" s="1" t="s">
        <v>24</v>
      </c>
      <c r="E18" s="1" t="str">
        <f t="shared" si="0"/>
        <v>Suficiente</v>
      </c>
      <c r="F18" s="1">
        <v>345</v>
      </c>
      <c r="G18" s="2">
        <v>14171.1</v>
      </c>
      <c r="H18" s="1" t="str">
        <f t="shared" si="1"/>
        <v>Transformador  NVIDIA 10W</v>
      </c>
    </row>
    <row r="19" spans="1:8" x14ac:dyDescent="0.25">
      <c r="A19" s="1">
        <v>18</v>
      </c>
      <c r="B19" s="1" t="s">
        <v>37</v>
      </c>
      <c r="C19" s="1" t="s">
        <v>23</v>
      </c>
      <c r="D19" s="1" t="s">
        <v>34</v>
      </c>
      <c r="E19" s="1" t="str">
        <f t="shared" si="0"/>
        <v>Reponer</v>
      </c>
      <c r="F19" s="1">
        <v>4</v>
      </c>
      <c r="G19" s="2">
        <v>14985.4</v>
      </c>
      <c r="H19" s="1" t="str">
        <f t="shared" si="1"/>
        <v>Parlante  TSMC 45W</v>
      </c>
    </row>
    <row r="20" spans="1:8" x14ac:dyDescent="0.25">
      <c r="A20" s="1">
        <v>19</v>
      </c>
      <c r="B20" s="1" t="s">
        <v>12</v>
      </c>
      <c r="C20" s="1" t="s">
        <v>25</v>
      </c>
      <c r="D20" s="1" t="s">
        <v>38</v>
      </c>
      <c r="E20" s="1" t="str">
        <f t="shared" si="0"/>
        <v>Reponer</v>
      </c>
      <c r="F20" s="1">
        <v>1</v>
      </c>
      <c r="G20" s="2">
        <v>15799.7</v>
      </c>
      <c r="H20" s="1" t="str">
        <f t="shared" si="1"/>
        <v>Fotorresistor Samsung 20W</v>
      </c>
    </row>
    <row r="21" spans="1:8" x14ac:dyDescent="0.25">
      <c r="A21" s="1">
        <v>20</v>
      </c>
      <c r="B21" s="1" t="s">
        <v>13</v>
      </c>
      <c r="C21" s="1" t="s">
        <v>28</v>
      </c>
      <c r="D21" s="1" t="s">
        <v>34</v>
      </c>
      <c r="E21" s="1" t="str">
        <f t="shared" si="0"/>
        <v>Suficiente</v>
      </c>
      <c r="F21" s="3">
        <v>545</v>
      </c>
      <c r="G21" s="2">
        <v>16614</v>
      </c>
      <c r="H21" s="1" t="str">
        <f t="shared" si="1"/>
        <v>Interruptor  Kngston 45W</v>
      </c>
    </row>
  </sheetData>
  <conditionalFormatting sqref="F2:F21">
    <cfRule type="cellIs" dxfId="0" priority="2" operator="greaterThan">
      <formula>10</formula>
    </cfRule>
    <cfRule type="cellIs" dxfId="1" priority="1" operator="lessThan">
      <formula>10</formula>
    </cfRule>
  </conditionalFormatting>
  <dataValidations count="1">
    <dataValidation type="whole" allowBlank="1" showInputMessage="1" showErrorMessage="1" sqref="F2:F20" xr:uid="{67CBE1A5-7212-47B8-A8EA-287AF1416F13}">
      <formula1>10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LABA1-PC30</dc:creator>
  <cp:lastModifiedBy>LABA1-PC30</cp:lastModifiedBy>
  <dcterms:created xsi:type="dcterms:W3CDTF">2026-04-23T11:41:33Z</dcterms:created>
  <dcterms:modified xsi:type="dcterms:W3CDTF">2026-04-23T13:16:31Z</dcterms:modified>
</cp:coreProperties>
</file>